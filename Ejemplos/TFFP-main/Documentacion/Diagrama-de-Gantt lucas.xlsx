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theme/theme1.xml" ContentType="application/vnd.openxmlformats-officedocument.theme+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_rels/externalLink1.xml.rels" ContentType="application/vnd.openxmlformats-package.relationships+xml"/>
  <Override PartName="/xl/externalLinks/_rels/externalLink2.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lendarioproyecto" sheetId="1" state="visible" r:id="rId3"/>
  </sheets>
  <externalReferences>
    <externalReference r:id="rId4"/>
    <externalReference r:id="rId5"/>
  </externalReferences>
  <definedNames>
    <definedName function="false" hidden="false" localSheetId="0" name="_xlnm.Print_Titles" vbProcedure="false">calendarioproyecto!$4:$6</definedName>
    <definedName function="false" hidden="false" name="CIQWBGuid" vbProcedure="false">"2cd8126d-26c3-430c-b7fa-a069e3a1fc62"</definedName>
    <definedName function="false" hidden="false" name="CODIGO1" vbProcedure="false">[1]DIARIO!$C$12:$C$501</definedName>
    <definedName function="false" hidden="false" name="CODIGO2" vbProcedure="false">[2]BALANCE!$A1</definedName>
    <definedName function="false" hidden="false" name="DEBE" vbProcedure="false">[1]DIARIO!$F$12:$F$501</definedName>
    <definedName function="false" hidden="false" name="HABER" vbProcedure="false">[1]DIARIO!$G$12:$G$501</definedName>
    <definedName function="false" hidden="false" name="InicioDelProyecto" vbProcedure="false">calendarioproyecto!$D$3</definedName>
    <definedName function="false" hidden="false" name="IQ_CH" vbProcedure="false">110000</definedName>
    <definedName function="false" hidden="false" name="IQ_CQ" vbProcedure="false">5000</definedName>
    <definedName function="false" hidden="false" name="IQ_CY" vbProcedure="false">10000</definedName>
    <definedName function="false" hidden="false" name="IQ_DAILY" vbProcedure="false">500000</definedName>
    <definedName function="false" hidden="false" name="IQ_DNTM" vbProcedure="false">700000</definedName>
    <definedName function="false" hidden="false" name="IQ_FH" vbProcedure="false">100000</definedName>
    <definedName function="false" hidden="false" name="IQ_FQ" vbProcedure="false">500</definedName>
    <definedName function="false" hidden="false" name="IQ_FWD_CY" vbProcedure="false">10001</definedName>
    <definedName function="false" hidden="false" name="IQ_FWD_CY1" vbProcedure="false">10002</definedName>
    <definedName function="false" hidden="false" name="IQ_FWD_CY2" vbProcedure="false">10003</definedName>
    <definedName function="false" hidden="false" name="IQ_FWD_FY" vbProcedure="false">1001</definedName>
    <definedName function="false" hidden="false" name="IQ_FWD_FY1" vbProcedure="false">1002</definedName>
    <definedName function="false" hidden="false" name="IQ_FWD_FY2" vbProcedure="false">1003</definedName>
    <definedName function="false" hidden="false" name="IQ_FWD_Q" vbProcedure="false">501</definedName>
    <definedName function="false" hidden="false" name="IQ_FWD_Q1" vbProcedure="false">502</definedName>
    <definedName function="false" hidden="false" name="IQ_FWD_Q2" vbProcedure="false">503</definedName>
    <definedName function="false" hidden="false" name="IQ_FY" vbProcedure="false">1000</definedName>
    <definedName function="false" hidden="false" name="IQ_LATESTK" vbProcedure="false">1000</definedName>
    <definedName function="false" hidden="false" name="IQ_LATESTQ" vbProcedure="false">500</definedName>
    <definedName function="false" hidden="false" name="IQ_LTM" vbProcedure="false">2000</definedName>
    <definedName function="false" hidden="false" name="IQ_LTMMONTH" vbProcedure="false">120000</definedName>
    <definedName function="false" hidden="false" name="IQ_MONTH" vbProcedure="false">15000</definedName>
    <definedName function="false" hidden="false" name="IQ_MTD" vbProcedure="false">800000</definedName>
    <definedName function="false" hidden="false" name="IQ_NAMES_REVISION_DATE_" vbProcedure="false">41666.7099189815</definedName>
    <definedName function="false" hidden="false" name="IQ_NTM" vbProcedure="false">6000</definedName>
    <definedName function="false" hidden="false" name="IQ_QTD" vbProcedure="false">750000</definedName>
    <definedName function="false" hidden="false" name="IQ_TODAY" vbProcedure="false">0</definedName>
    <definedName function="false" hidden="false" name="IQ_WEEK" vbProcedure="false">50000</definedName>
    <definedName function="false" hidden="false" name="IQ_YTD" vbProcedure="false">3000</definedName>
    <definedName function="false" hidden="false" name="IQ_YTDMONTH" vbProcedure="false">130000</definedName>
    <definedName function="false" hidden="false" name="SemanaParaMostrar" vbProcedure="false">calendarioproyecto!$D$4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<sst xmlns="http://schemas.openxmlformats.org/spreadsheetml/2006/main" count="45" uniqueCount="32">
  <si>
    <t xml:space="preserve">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</si>
  <si>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 xml:space="preserve">A la carta</t>
  </si>
  <si>
    <r>
      <rPr>
        <b val="true"/>
        <sz val="14"/>
        <color rgb="FF000000"/>
        <rFont val="Calibri"/>
        <family val="2"/>
        <charset val="1"/>
      </rPr>
      <t xml:space="preserve">DIAGRAMA DE GANTT </t>
    </r>
    <r>
      <rPr>
        <sz val="11"/>
        <color rgb="FF000000"/>
        <rFont val="Calibri"/>
        <family val="2"/>
        <charset val="1"/>
      </rPr>
      <t xml:space="preserve"> </t>
    </r>
  </si>
  <si>
    <t xml:space="preserve">Escriba el nombre de la compañía en la celda B2.</t>
  </si>
  <si>
    <t xml:space="preserve">Escriba el nombre del responsable del proyecto en la celda B3. Escriba la fecha de comienzo del proyecto en la celda E3. Inicio del proyecto: la etiqueta se encuentra en la celda C3.</t>
  </si>
  <si>
    <t xml:space="preserve">Lucas Vera Amoros</t>
  </si>
  <si>
    <t xml:space="preserve">Inicio del proyecto:</t>
  </si>
  <si>
    <t xml:space="preserve">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</si>
  <si>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 xml:space="preserve">Semana para mostrar:</t>
  </si>
  <si>
    <t xml:space="preserve">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</si>
  <si>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 xml:space="preserve">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</si>
  <si>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TAREA</t>
  </si>
  <si>
    <t xml:space="preserve">ASIGNADO</t>
  </si>
  <si>
    <t xml:space="preserve">INICIO</t>
  </si>
  <si>
    <t xml:space="preserve">DÍAS</t>
  </si>
  <si>
    <t xml:space="preserve">No elimine esta fila. Esta fila está oculta para conservar una fórmula que se usa para resaltar el día actual dentro de la programación del proyecto. </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</si>
  <si>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</si>
  <si>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 xml:space="preserve">Especificación de requisitos</t>
  </si>
  <si>
    <t xml:space="preserve">Lucas Vera </t>
  </si>
  <si>
    <t xml:space="preserve">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</si>
  <si>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 xml:space="preserve">Elección de las tecnologías de desarrollo </t>
  </si>
  <si>
    <t xml:space="preserve">Instalación de las herramientas</t>
  </si>
  <si>
    <t xml:space="preserve">Especificación de casos de uso</t>
  </si>
  <si>
    <t xml:space="preserve">Diseño y creación de la base de datos</t>
  </si>
  <si>
    <t xml:space="preserve">Diseño de la interfaz gráfica</t>
  </si>
  <si>
    <t xml:space="preserve">Desarrollo</t>
  </si>
  <si>
    <t xml:space="preserve">Implementación</t>
  </si>
  <si>
    <t xml:space="preserve">Pruebas unitarias</t>
  </si>
  <si>
    <t xml:space="preserve">Pruebas de integración</t>
  </si>
  <si>
    <t xml:space="preserve">Pruebas de usabilidad</t>
  </si>
  <si>
    <t xml:space="preserve">Memoria del proyecto</t>
  </si>
  <si>
    <t xml:space="preserve">Lanzamiento</t>
  </si>
</sst>
</file>

<file path=xl/styles.xml><?xml version="1.0" encoding="utf-8"?>
<styleSheet xmlns="http://schemas.openxmlformats.org/spreadsheetml/2006/main">
  <numFmts count="7">
    <numFmt numFmtId="164" formatCode="General"/>
    <numFmt numFmtId="165" formatCode="m/d/yy;@"/>
    <numFmt numFmtId="166" formatCode="ddd&quot;, &quot;dd/mm/yyyy"/>
    <numFmt numFmtId="167" formatCode="mmm&quot; de &quot;yyyy"/>
    <numFmt numFmtId="168" formatCode="d"/>
    <numFmt numFmtId="169" formatCode="General"/>
    <numFmt numFmtId="170" formatCode="d\-m\-yy;@"/>
  </numFmts>
  <fonts count="17">
    <font>
      <sz val="11"/>
      <color rgb="FF000000"/>
      <name val="Calibri"/>
      <family val="2"/>
      <charset val="1"/>
    </font>
    <font>
      <sz val="10"/>
      <name val="Arial"/>
      <family val="0"/>
    </font>
    <font>
      <sz val="10"/>
      <name val="Arial"/>
      <family val="0"/>
    </font>
    <font>
      <sz val="10"/>
      <name val="Arial"/>
      <family val="0"/>
    </font>
    <font>
      <sz val="11"/>
      <color rgb="FFFFFFFF"/>
      <name val="Calibri"/>
      <family val="2"/>
      <charset val="1"/>
    </font>
    <font>
      <b val="true"/>
      <sz val="22"/>
      <color rgb="FF595959"/>
      <name val="Calibri"/>
      <family val="2"/>
      <charset val="1"/>
    </font>
    <font>
      <b val="true"/>
      <sz val="20"/>
      <color rgb="FF376092"/>
      <name val="Calibri"/>
      <family val="2"/>
      <charset val="1"/>
    </font>
    <font>
      <sz val="10"/>
      <name val="Calibri"/>
      <family val="2"/>
      <charset val="1"/>
    </font>
    <font>
      <b val="true"/>
      <sz val="14"/>
      <color rgb="FF000000"/>
      <name val="Calibri"/>
      <family val="2"/>
      <charset val="1"/>
    </font>
    <font>
      <sz val="14"/>
      <color rgb="FF000000"/>
      <name val="Calibri"/>
      <family val="2"/>
      <charset val="1"/>
    </font>
    <font>
      <u val="single"/>
      <sz val="11"/>
      <color rgb="FF0000FF"/>
      <name val="Arial"/>
      <family val="2"/>
      <charset val="1"/>
    </font>
    <font>
      <sz val="10"/>
      <color rgb="FF7F7F7F"/>
      <name val="Arial"/>
      <family val="2"/>
      <charset val="1"/>
    </font>
    <font>
      <sz val="9"/>
      <color rgb="FFFFFFFF"/>
      <name val="Calibri"/>
      <family val="2"/>
      <charset val="1"/>
    </font>
    <font>
      <b val="true"/>
      <sz val="9"/>
      <color rgb="FFFFFFFF"/>
      <name val="Calibri"/>
      <family val="2"/>
      <charset val="1"/>
    </font>
    <font>
      <sz val="8"/>
      <color rgb="FFFFFFFF"/>
      <name val="Calibri"/>
      <family val="2"/>
      <charset val="1"/>
    </font>
    <font>
      <sz val="11"/>
      <name val="Calibri"/>
      <family val="2"/>
      <charset val="1"/>
    </font>
    <font>
      <b val="true"/>
      <sz val="11"/>
      <color rgb="FF7F7F7F"/>
      <name val="Calibri"/>
      <family val="2"/>
      <charset val="1"/>
    </font>
  </fonts>
  <fills count="8">
    <fill>
      <patternFill patternType="none"/>
    </fill>
    <fill>
      <patternFill patternType="gray125"/>
    </fill>
    <fill>
      <patternFill patternType="solid">
        <fgColor rgb="FF00B050"/>
        <bgColor rgb="FF1AD448"/>
      </patternFill>
    </fill>
    <fill>
      <patternFill patternType="solid">
        <fgColor rgb="FFDCE6F2"/>
        <bgColor rgb="FFD9D9D9"/>
      </patternFill>
    </fill>
    <fill>
      <patternFill patternType="solid">
        <fgColor rgb="FF07DE4D"/>
        <bgColor rgb="FF1AD448"/>
      </patternFill>
    </fill>
    <fill>
      <patternFill patternType="solid">
        <fgColor rgb="FF1AD448"/>
        <bgColor rgb="FF07DE4D"/>
      </patternFill>
    </fill>
    <fill>
      <patternFill patternType="solid">
        <fgColor rgb="FFF2DCDB"/>
        <bgColor rgb="FFD9D9D9"/>
      </patternFill>
    </fill>
    <fill>
      <patternFill patternType="solid">
        <fgColor rgb="FFEBF1DE"/>
        <bgColor rgb="FFDCE6F2"/>
      </patternFill>
    </fill>
  </fills>
  <borders count="10">
    <border diagonalUp="false" diagonalDown="false">
      <left/>
      <right/>
      <top/>
      <bottom/>
      <diagonal/>
    </border>
    <border diagonalUp="false" diagonalDown="false">
      <left/>
      <right/>
      <top style="medium">
        <color rgb="FFD9D9D9"/>
      </top>
      <bottom style="medium">
        <color rgb="FFD9D9D9"/>
      </bottom>
      <diagonal/>
    </border>
    <border diagonalUp="false" diagonalDown="false">
      <left style="thin">
        <color rgb="FFA6A6A6"/>
      </left>
      <right style="thin">
        <color rgb="FFA6A6A6"/>
      </right>
      <top style="thin">
        <color rgb="FFA6A6A6"/>
      </top>
      <bottom style="thin">
        <color rgb="FFA6A6A6"/>
      </bottom>
      <diagonal/>
    </border>
    <border diagonalUp="false" diagonalDown="false">
      <left/>
      <right style="thin">
        <color rgb="FFA6A6A6"/>
      </right>
      <top/>
      <bottom/>
      <diagonal/>
    </border>
    <border diagonalUp="false" diagonalDown="false">
      <left style="thin">
        <color rgb="FFA6A6A6"/>
      </left>
      <right style="thin">
        <color rgb="FFA6A6A6"/>
      </right>
      <top style="thin">
        <color rgb="FFA6A6A6"/>
      </top>
      <bottom/>
      <diagonal/>
    </border>
    <border diagonalUp="false" diagonalDown="false">
      <left/>
      <right/>
      <top/>
      <bottom style="thin">
        <color rgb="FFA6A6A6"/>
      </bottom>
      <diagonal/>
    </border>
    <border diagonalUp="false" diagonalDown="false">
      <left style="thin">
        <color rgb="FFA6A6A6"/>
      </left>
      <right/>
      <top/>
      <bottom/>
      <diagonal/>
    </border>
    <border diagonalUp="false" diagonalDown="false">
      <left/>
      <right/>
      <top style="thin">
        <color rgb="FFA6A6A6"/>
      </top>
      <bottom/>
      <diagonal/>
    </border>
    <border diagonalUp="false" diagonalDown="false">
      <left style="thin">
        <color rgb="FFA6A6A6"/>
      </left>
      <right style="thin">
        <color rgb="FFA6A6A6"/>
      </right>
      <top/>
      <bottom style="medium">
        <color rgb="FFD9D9D9"/>
      </bottom>
      <diagonal/>
    </border>
    <border diagonalUp="false" diagonalDown="false">
      <left style="thin">
        <color rgb="FFD9D9D9"/>
      </left>
      <right style="thin">
        <color rgb="FFD9D9D9"/>
      </right>
      <top style="medium">
        <color rgb="FFD9D9D9"/>
      </top>
      <bottom style="medium">
        <color rgb="FFD9D9D9"/>
      </bottom>
      <diagonal/>
    </border>
  </borders>
  <cellStyleXfs count="3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false">
      <alignment horizontal="general" vertical="bottom" textRotation="0" wrapText="false" indent="0" shrinkToFit="false"/>
    </xf>
    <xf numFmtId="165" fontId="0" fillId="0" borderId="1" applyFont="true" applyBorder="true" applyAlignment="true" applyProtection="true">
      <alignment horizontal="center" vertical="center" textRotation="0" wrapText="false" indent="0" shrinkToFit="false"/>
      <protection locked="true" hidden="false"/>
    </xf>
    <xf numFmtId="166" fontId="0" fillId="0" borderId="2" applyFont="true" applyBorder="true" applyAlignment="true" applyProtection="true">
      <alignment horizontal="center" vertical="center" textRotation="0" wrapText="false" indent="0" shrinkToFit="false"/>
      <protection locked="true" hidden="false"/>
    </xf>
    <xf numFmtId="164" fontId="0" fillId="0" borderId="1" applyFont="true" applyBorder="true" applyAlignment="true" applyProtection="true">
      <alignment horizontal="center" vertical="center"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1" applyFont="true" applyBorder="true" applyAlignment="true" applyProtection="true">
      <alignment horizontal="left" vertical="center" textRotation="0" wrapText="false" indent="4"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false" applyAlignment="true" applyProtection="false">
      <alignment horizontal="general" vertical="bottom" textRotation="0" wrapText="false" indent="0" shrinkToFit="false"/>
    </xf>
    <xf numFmtId="164" fontId="9" fillId="0" borderId="0" applyFont="true" applyBorder="true" applyAlignment="true" applyProtection="false">
      <alignment horizontal="general" vertical="bottom" textRotation="0" wrapText="false" indent="0" shrinkToFit="false"/>
    </xf>
    <xf numFmtId="164" fontId="9" fillId="0" borderId="0" applyFont="true" applyBorder="true" applyAlignment="true" applyProtection="false">
      <alignment horizontal="general" vertical="top" textRotation="0" wrapText="false" indent="0" shrinkToFit="false"/>
    </xf>
    <xf numFmtId="164" fontId="0" fillId="0" borderId="0" applyFont="true" applyBorder="true" applyAlignment="true" applyProtection="false">
      <alignment horizontal="right" vertical="bottom" textRotation="0" wrapText="false" indent="1" shrinkToFit="false"/>
    </xf>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6"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4" fillId="0" borderId="0" xfId="26" applyFont="true" applyBorder="false" applyAlignment="true" applyProtection="true">
      <alignment horizontal="general" vertical="bottom" textRotation="0" wrapText="true" indent="0" shrinkToFit="false"/>
      <protection locked="true" hidden="false"/>
    </xf>
    <xf numFmtId="164" fontId="5" fillId="0" borderId="0" xfId="27" applyFont="true" applyBorder="tru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28" applyFont="true" applyBorder="false" applyAlignment="true" applyProtection="true">
      <alignment horizontal="general" vertical="bottom" textRotation="0" wrapText="false" indent="0" shrinkToFit="false"/>
      <protection locked="true" hidden="false"/>
    </xf>
    <xf numFmtId="164" fontId="11" fillId="0" borderId="0" xfId="20" applyFont="true" applyBorder="true" applyAlignment="true" applyProtection="true">
      <alignment horizontal="general" vertical="top" textRotation="0" wrapText="false" indent="0" shrinkToFit="false"/>
      <protection locked="true" hidden="false"/>
    </xf>
    <xf numFmtId="164" fontId="9" fillId="0" borderId="0" xfId="29" applyFont="true" applyBorder="false" applyAlignment="true" applyProtection="true">
      <alignment horizontal="general" vertical="top" textRotation="0" wrapText="false" indent="0" shrinkToFit="false"/>
      <protection locked="true" hidden="false"/>
    </xf>
    <xf numFmtId="164" fontId="0" fillId="0" borderId="3" xfId="30" applyFont="true" applyBorder="true" applyAlignment="true" applyProtection="true">
      <alignment horizontal="right" vertical="bottom" textRotation="0" wrapText="false" indent="1" shrinkToFit="false"/>
      <protection locked="true" hidden="false"/>
    </xf>
    <xf numFmtId="166" fontId="0" fillId="0" borderId="2" xfId="22" applyFont="false" applyBorder="true" applyAlignment="true" applyProtection="true">
      <alignment horizontal="center" vertical="center" textRotation="0" wrapText="false" indent="0" shrinkToFit="false"/>
      <protection locked="true" hidden="false"/>
    </xf>
    <xf numFmtId="164" fontId="0" fillId="0" borderId="2" xfId="0" applyFont="false" applyBorder="true" applyAlignment="true" applyProtection="true">
      <alignment horizontal="center" vertical="center" textRotation="0" wrapText="false" indent="0" shrinkToFit="false"/>
      <protection locked="true" hidden="false"/>
    </xf>
    <xf numFmtId="167" fontId="4" fillId="2" borderId="4" xfId="0" applyFont="true" applyBorder="true" applyAlignment="true" applyProtection="true">
      <alignment horizontal="left" vertical="center" textRotation="0" wrapText="true" indent="1"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8" fontId="12" fillId="2" borderId="6" xfId="0" applyFont="true" applyBorder="true" applyAlignment="true" applyProtection="true">
      <alignment horizontal="center" vertical="center" textRotation="0" wrapText="false" indent="0" shrinkToFit="false"/>
      <protection locked="true" hidden="false"/>
    </xf>
    <xf numFmtId="168" fontId="12" fillId="2" borderId="0" xfId="0" applyFont="true" applyBorder="false" applyAlignment="true" applyProtection="true">
      <alignment horizontal="center" vertical="center" textRotation="0" wrapText="false" indent="0" shrinkToFit="false"/>
      <protection locked="true" hidden="false"/>
    </xf>
    <xf numFmtId="168" fontId="12" fillId="2" borderId="3" xfId="0" applyFont="true" applyBorder="true" applyAlignment="true" applyProtection="true">
      <alignment horizontal="center" vertical="center" textRotation="0" wrapText="false" indent="0" shrinkToFit="false"/>
      <protection locked="true" hidden="false"/>
    </xf>
    <xf numFmtId="164" fontId="13" fillId="2" borderId="7" xfId="0" applyFont="true" applyBorder="true" applyAlignment="true" applyProtection="true">
      <alignment horizontal="left" vertical="center" textRotation="0" wrapText="false" indent="1" shrinkToFit="false"/>
      <protection locked="true" hidden="false"/>
    </xf>
    <xf numFmtId="164" fontId="13" fillId="2" borderId="7" xfId="0" applyFont="true" applyBorder="true" applyAlignment="true" applyProtection="true">
      <alignment horizontal="center" vertical="center" textRotation="0" wrapText="true" indent="0" shrinkToFit="false"/>
      <protection locked="true" hidden="false"/>
    </xf>
    <xf numFmtId="169" fontId="14" fillId="2" borderId="8" xfId="0" applyFont="true" applyBorder="true" applyAlignment="true" applyProtection="true">
      <alignment horizontal="center" vertical="center" textRotation="0" wrapText="false" indent="0" shrinkToFit="tru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9" xfId="0" applyFont="false" applyBorder="tru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3" borderId="1" xfId="25" applyFont="true" applyBorder="false" applyAlignment="true" applyProtection="true">
      <alignment horizontal="left" vertical="center" textRotation="0" wrapText="false" indent="4" shrinkToFit="false"/>
      <protection locked="true" hidden="false"/>
    </xf>
    <xf numFmtId="164" fontId="0" fillId="3" borderId="1" xfId="23" applyFont="true" applyBorder="false" applyAlignment="true" applyProtection="true">
      <alignment horizontal="center" vertical="center" textRotation="0" wrapText="false" indent="0" shrinkToFit="false"/>
      <protection locked="true" hidden="false"/>
    </xf>
    <xf numFmtId="170" fontId="0" fillId="3" borderId="1" xfId="21" applyFont="false" applyBorder="false" applyAlignment="true" applyProtection="true">
      <alignment horizontal="center" vertical="center" textRotation="0" wrapText="false" indent="0" shrinkToFit="false"/>
      <protection locked="true" hidden="false"/>
    </xf>
    <xf numFmtId="164" fontId="15" fillId="0" borderId="1" xfId="0" applyFont="true" applyBorder="true" applyAlignment="true" applyProtection="true">
      <alignment horizontal="center" vertical="center" textRotation="0" wrapText="false" indent="0" shrinkToFit="false"/>
      <protection locked="true" hidden="false"/>
    </xf>
    <xf numFmtId="164" fontId="0" fillId="4" borderId="9" xfId="0" applyFont="false" applyBorder="true" applyAlignment="true" applyProtection="true">
      <alignment horizontal="general" vertical="center" textRotation="0" wrapText="false" indent="0" shrinkToFit="false"/>
      <protection locked="true" hidden="false"/>
    </xf>
    <xf numFmtId="164" fontId="0" fillId="0" borderId="9" xfId="0" applyFont="false" applyBorder="true" applyAlignment="true" applyProtection="true">
      <alignment horizontal="right" vertical="center"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6" borderId="1" xfId="25" applyFont="true" applyBorder="false" applyAlignment="true" applyProtection="true">
      <alignment horizontal="left" vertical="center" textRotation="0" wrapText="false" indent="4" shrinkToFit="false"/>
      <protection locked="true" hidden="false"/>
    </xf>
    <xf numFmtId="164" fontId="0" fillId="6" borderId="1" xfId="23" applyFont="true" applyBorder="false" applyAlignment="true" applyProtection="true">
      <alignment horizontal="center" vertical="center" textRotation="0" wrapText="false" indent="0" shrinkToFit="false"/>
      <protection locked="true" hidden="false"/>
    </xf>
    <xf numFmtId="170" fontId="0" fillId="6" borderId="1" xfId="21" applyFont="false" applyBorder="false" applyAlignment="true" applyProtection="true">
      <alignment horizontal="center" vertical="center" textRotation="0" wrapText="false" indent="0" shrinkToFit="false"/>
      <protection locked="true" hidden="false"/>
    </xf>
    <xf numFmtId="164" fontId="0" fillId="5" borderId="9" xfId="0" applyFont="false" applyBorder="true" applyAlignment="true" applyProtection="true">
      <alignment horizontal="general" vertical="center" textRotation="0" wrapText="false" indent="0" shrinkToFit="false"/>
      <protection locked="true" hidden="false"/>
    </xf>
    <xf numFmtId="164" fontId="0" fillId="7" borderId="1" xfId="25" applyFont="true" applyBorder="false" applyAlignment="true" applyProtection="true">
      <alignment horizontal="left" vertical="center" textRotation="0" wrapText="false" indent="4" shrinkToFit="false"/>
      <protection locked="true" hidden="false"/>
    </xf>
    <xf numFmtId="164" fontId="0" fillId="7" borderId="1" xfId="23" applyFont="true" applyBorder="false" applyAlignment="true" applyProtection="true">
      <alignment horizontal="center" vertical="center" textRotation="0" wrapText="false" indent="0" shrinkToFit="false"/>
      <protection locked="true" hidden="false"/>
    </xf>
    <xf numFmtId="170" fontId="0" fillId="7" borderId="1" xfId="21" applyFont="false" applyBorder="false" applyAlignment="true" applyProtection="true">
      <alignment horizontal="center" vertical="center" textRotation="0" wrapText="false" indent="0" shrinkToFit="false"/>
      <protection locked="true" hidden="false"/>
    </xf>
    <xf numFmtId="164" fontId="0" fillId="0" borderId="9" xfId="0" applyFont="false" applyBorder="tru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right" vertical="center"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cellXfs>
  <cellStyles count="17">
    <cellStyle name="Normal" xfId="0" builtinId="0"/>
    <cellStyle name="Comma" xfId="15" builtinId="3"/>
    <cellStyle name="Comma [0]" xfId="16" builtinId="6"/>
    <cellStyle name="Currency" xfId="17" builtinId="4"/>
    <cellStyle name="Currency [0]" xfId="18" builtinId="7"/>
    <cellStyle name="Percent" xfId="19" builtinId="5"/>
    <cellStyle name="Fecha" xfId="21"/>
    <cellStyle name="Inicio del proyecto" xfId="22"/>
    <cellStyle name="Nombre" xfId="23"/>
    <cellStyle name="Normal 2 2 2" xfId="24"/>
    <cellStyle name="Tarea" xfId="25"/>
    <cellStyle name="zTextoOculto" xfId="26"/>
    <cellStyle name="Excel Built-in Title" xfId="27"/>
    <cellStyle name="Excel Built-in Heading 1" xfId="28"/>
    <cellStyle name="*unknown*" xfId="20" builtinId="8"/>
    <cellStyle name="Excel Built-in Heading 2" xfId="29"/>
    <cellStyle name="Excel Built-in Heading 3" xfId="30"/>
  </cellStyles>
  <dxfs count="3">
    <dxf>
      <border diagonalUp="false" diagonalDown="false">
        <left style="thin"/>
        <right style="thin"/>
        <top/>
        <bottom/>
        <diagonal/>
      </border>
    </dxf>
    <dxf>
      <fill>
        <patternFill>
          <bgColor rgb="FF00B050"/>
        </patternFill>
      </fill>
    </dxf>
    <dxf>
      <fill>
        <patternFill>
          <bgColor rgb="FF00B0F0"/>
        </patternFill>
      </fill>
      <border diagonalUp="false" diagonalDown="false">
        <left/>
        <right/>
        <top/>
        <bottom/>
        <diagonal/>
      </border>
    </dxf>
  </dxfs>
  <colors>
    <indexedColors>
      <rgbColor rgb="FF000000"/>
      <rgbColor rgb="FFFFFFFF"/>
      <rgbColor rgb="FFFF0000"/>
      <rgbColor rgb="FF07DE4D"/>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EBF1DE"/>
      <rgbColor rgb="FFDCE6F2"/>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2DCDB"/>
      <rgbColor rgb="FF3366FF"/>
      <rgbColor rgb="FF1AD448"/>
      <rgbColor rgb="FF99CC00"/>
      <rgbColor rgb="FFFFCC00"/>
      <rgbColor rgb="FFFF9900"/>
      <rgbColor rgb="FFFF6600"/>
      <rgbColor rgb="FF595959"/>
      <rgbColor rgb="FFA6A6A6"/>
      <rgbColor rgb="FF003366"/>
      <rgbColor rgb="FF00B050"/>
      <rgbColor rgb="FF003300"/>
      <rgbColor rgb="FF333300"/>
      <rgbColor rgb="FF993300"/>
      <rgbColor rgb="FF993366"/>
      <rgbColor rgb="FF376092"/>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externalLink" Target="externalLinks/externalLink1.xml"/><Relationship Id="rId5" Type="http://schemas.openxmlformats.org/officeDocument/2006/relationships/externalLink" Target="externalLinks/externalLink2.xml"/><Relationship Id="rId6" Type="http://schemas.openxmlformats.org/officeDocument/2006/relationships/sharedStrings" Target="sharedStrings.xml"/>
</Relationships>
</file>

<file path=xl/externalLinks/_rels/externalLink1.xml.rels><?xml version="1.0" encoding="UTF-8"?>
<Relationships xmlns="http://schemas.openxmlformats.org/package/2006/relationships"><Relationship Id="rId1" Type="http://schemas.openxmlformats.org/officeDocument/2006/relationships/externalLinkPath" Target="file:///G:/imagenes/plantillas/Libro-diario-excel.xls"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Aneudy/Pictures/plantillas/Hoja%20de%20balance.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DIARIO"/>
      <sheetName val="MAYOR"/>
      <sheetName val="BALANCE"/>
      <sheetName val="RESULTADO"/>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BALANCE"/>
      <sheetName val="DESCARGA DE RESPONSABILIDAD"/>
    </sheetNames>
    <sheetDataSet>
      <sheetData sheetId="0"/>
      <sheetData sheetId="1"/>
    </sheetDataSet>
  </externalBook>
</externalLink>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MJ1048576"/>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21" activeCellId="0" sqref="A21"/>
    </sheetView>
  </sheetViews>
  <sheetFormatPr defaultColWidth="9.171875" defaultRowHeight="13.8" zeroHeight="false" outlineLevelRow="0" outlineLevelCol="0"/>
  <cols>
    <col collapsed="false" customWidth="true" hidden="false" outlineLevel="0" max="1" min="1" style="1" width="2.71"/>
    <col collapsed="false" customWidth="true" hidden="false" outlineLevel="0" max="2" min="2" style="2" width="45.84"/>
    <col collapsed="false" customWidth="true" hidden="false" outlineLevel="0" max="3" min="3" style="2" width="32.71"/>
    <col collapsed="false" customWidth="true" hidden="false" outlineLevel="0" max="4" min="4" style="3" width="14.54"/>
    <col collapsed="false" customWidth="true" hidden="false" outlineLevel="0" max="5" min="5" style="2" width="2.71"/>
    <col collapsed="false" customWidth="true" hidden="true" outlineLevel="0" max="6" min="6" style="2" width="6.15"/>
    <col collapsed="false" customWidth="true" hidden="false" outlineLevel="0" max="23" min="7" style="2" width="2.57"/>
    <col collapsed="false" customWidth="true" hidden="false" outlineLevel="0" max="24" min="24" style="2" width="2.99"/>
    <col collapsed="false" customWidth="true" hidden="false" outlineLevel="0" max="97" min="25" style="2" width="2.57"/>
    <col collapsed="false" customWidth="true" hidden="false" outlineLevel="0" max="1024" min="1022" style="2" width="11.52"/>
  </cols>
  <sheetData>
    <row r="1" customFormat="false" ht="30" hidden="false" customHeight="true" outlineLevel="0" collapsed="false">
      <c r="A1" s="4" t="s">
        <v>0</v>
      </c>
      <c r="B1" s="5" t="s">
        <v>1</v>
      </c>
      <c r="C1" s="6"/>
      <c r="D1" s="7"/>
      <c r="F1" s="8"/>
      <c r="G1" s="9" t="s">
        <v>2</v>
      </c>
    </row>
    <row r="2" customFormat="false" ht="30" hidden="false" customHeight="true" outlineLevel="0" collapsed="false">
      <c r="A2" s="1" t="s">
        <v>3</v>
      </c>
      <c r="B2" s="10" t="s">
        <v>1</v>
      </c>
      <c r="G2" s="11"/>
    </row>
    <row r="3" customFormat="false" ht="30" hidden="false" customHeight="true" outlineLevel="0" collapsed="false">
      <c r="A3" s="1" t="s">
        <v>4</v>
      </c>
      <c r="B3" s="12" t="s">
        <v>5</v>
      </c>
      <c r="C3" s="13" t="s">
        <v>6</v>
      </c>
      <c r="D3" s="14" t="n">
        <v>45565</v>
      </c>
    </row>
    <row r="4" customFormat="false" ht="30" hidden="false" customHeight="true" outlineLevel="0" collapsed="false">
      <c r="A4" s="4" t="s">
        <v>7</v>
      </c>
      <c r="C4" s="13" t="s">
        <v>8</v>
      </c>
      <c r="D4" s="15" t="n">
        <v>1</v>
      </c>
      <c r="G4" s="16" t="n">
        <f aca="false">G5</f>
        <v>45565</v>
      </c>
      <c r="H4" s="16"/>
      <c r="I4" s="16"/>
      <c r="J4" s="16"/>
      <c r="K4" s="16"/>
      <c r="L4" s="16"/>
      <c r="M4" s="16"/>
      <c r="N4" s="16" t="n">
        <f aca="false">N5</f>
        <v>45572</v>
      </c>
      <c r="O4" s="16"/>
      <c r="P4" s="16"/>
      <c r="Q4" s="16"/>
      <c r="R4" s="16"/>
      <c r="S4" s="16"/>
      <c r="T4" s="16"/>
      <c r="U4" s="16" t="n">
        <f aca="false">U5</f>
        <v>45579</v>
      </c>
      <c r="V4" s="16"/>
      <c r="W4" s="16"/>
      <c r="X4" s="16"/>
      <c r="Y4" s="16"/>
      <c r="Z4" s="16"/>
      <c r="AA4" s="16"/>
      <c r="AB4" s="16" t="n">
        <f aca="false">AB5</f>
        <v>45586</v>
      </c>
      <c r="AC4" s="16"/>
      <c r="AD4" s="16"/>
      <c r="AE4" s="16"/>
      <c r="AF4" s="16"/>
      <c r="AG4" s="16"/>
      <c r="AH4" s="16"/>
      <c r="AI4" s="16" t="n">
        <f aca="false">AI5</f>
        <v>45593</v>
      </c>
      <c r="AJ4" s="16"/>
      <c r="AK4" s="16"/>
      <c r="AL4" s="16"/>
      <c r="AM4" s="16"/>
      <c r="AN4" s="16"/>
      <c r="AO4" s="16"/>
      <c r="AP4" s="16" t="n">
        <f aca="false">AP5</f>
        <v>45600</v>
      </c>
      <c r="AQ4" s="16"/>
      <c r="AR4" s="16"/>
      <c r="AS4" s="16"/>
      <c r="AT4" s="16"/>
      <c r="AU4" s="16"/>
      <c r="AV4" s="16"/>
      <c r="AW4" s="16" t="n">
        <f aca="false">AW5</f>
        <v>45607</v>
      </c>
      <c r="AX4" s="16"/>
      <c r="AY4" s="16"/>
      <c r="AZ4" s="16"/>
      <c r="BA4" s="16"/>
      <c r="BB4" s="16"/>
      <c r="BC4" s="16"/>
      <c r="BD4" s="16" t="n">
        <f aca="false">BD5</f>
        <v>45614</v>
      </c>
      <c r="BE4" s="16"/>
      <c r="BF4" s="16"/>
      <c r="BG4" s="16"/>
      <c r="BH4" s="16"/>
      <c r="BI4" s="16"/>
      <c r="BJ4" s="16"/>
      <c r="BK4" s="16" t="n">
        <f aca="false">BK5</f>
        <v>45621</v>
      </c>
      <c r="BL4" s="16"/>
      <c r="BM4" s="16"/>
      <c r="BN4" s="16"/>
      <c r="BO4" s="16"/>
      <c r="BP4" s="16"/>
      <c r="BQ4" s="16"/>
      <c r="BR4" s="16" t="n">
        <f aca="false">BR5</f>
        <v>45628</v>
      </c>
      <c r="BS4" s="16"/>
      <c r="BT4" s="16"/>
      <c r="BU4" s="16"/>
      <c r="BV4" s="16"/>
      <c r="BW4" s="16"/>
      <c r="BX4" s="16"/>
      <c r="BY4" s="16" t="n">
        <f aca="false">BY5</f>
        <v>45635</v>
      </c>
      <c r="BZ4" s="16"/>
      <c r="CA4" s="16"/>
      <c r="CB4" s="16"/>
      <c r="CC4" s="16"/>
      <c r="CD4" s="16"/>
      <c r="CE4" s="16"/>
      <c r="CF4" s="16" t="n">
        <f aca="false">CF5</f>
        <v>45642</v>
      </c>
      <c r="CG4" s="16"/>
      <c r="CH4" s="16"/>
      <c r="CI4" s="16"/>
      <c r="CJ4" s="16"/>
      <c r="CK4" s="16"/>
      <c r="CL4" s="16"/>
      <c r="CM4" s="16" t="n">
        <f aca="false">CM5</f>
        <v>45649</v>
      </c>
      <c r="CN4" s="16"/>
      <c r="CO4" s="16"/>
      <c r="CP4" s="16"/>
      <c r="CQ4" s="16"/>
      <c r="CR4" s="16"/>
      <c r="CS4" s="16"/>
    </row>
    <row r="5" customFormat="false" ht="15" hidden="false" customHeight="true" outlineLevel="0" collapsed="false">
      <c r="A5" s="4" t="s">
        <v>9</v>
      </c>
      <c r="B5" s="17"/>
      <c r="C5" s="17"/>
      <c r="D5" s="17"/>
      <c r="E5" s="17"/>
      <c r="G5" s="18" t="n">
        <f aca="false">InicioDelProyecto-WEEKDAY(InicioDelProyecto,1)+2+7*(SemanaParaMostrar-1)</f>
        <v>45565</v>
      </c>
      <c r="H5" s="19" t="n">
        <f aca="false">G5+1</f>
        <v>45566</v>
      </c>
      <c r="I5" s="19" t="n">
        <f aca="false">H5+1</f>
        <v>45567</v>
      </c>
      <c r="J5" s="19" t="n">
        <f aca="false">I5+1</f>
        <v>45568</v>
      </c>
      <c r="K5" s="19" t="n">
        <f aca="false">J5+1</f>
        <v>45569</v>
      </c>
      <c r="L5" s="19" t="n">
        <f aca="false">K5+1</f>
        <v>45570</v>
      </c>
      <c r="M5" s="20" t="n">
        <f aca="false">L5+1</f>
        <v>45571</v>
      </c>
      <c r="N5" s="18" t="n">
        <f aca="false">M5+1</f>
        <v>45572</v>
      </c>
      <c r="O5" s="19" t="n">
        <f aca="false">N5+1</f>
        <v>45573</v>
      </c>
      <c r="P5" s="19" t="n">
        <f aca="false">O5+1</f>
        <v>45574</v>
      </c>
      <c r="Q5" s="19" t="n">
        <f aca="false">P5+1</f>
        <v>45575</v>
      </c>
      <c r="R5" s="19" t="n">
        <f aca="false">Q5+1</f>
        <v>45576</v>
      </c>
      <c r="S5" s="19" t="n">
        <f aca="false">R5+1</f>
        <v>45577</v>
      </c>
      <c r="T5" s="20" t="n">
        <f aca="false">S5+1</f>
        <v>45578</v>
      </c>
      <c r="U5" s="18" t="n">
        <f aca="false">T5+1</f>
        <v>45579</v>
      </c>
      <c r="V5" s="19" t="n">
        <f aca="false">U5+1</f>
        <v>45580</v>
      </c>
      <c r="W5" s="19" t="n">
        <f aca="false">V5+1</f>
        <v>45581</v>
      </c>
      <c r="X5" s="19" t="n">
        <f aca="false">W5+1</f>
        <v>45582</v>
      </c>
      <c r="Y5" s="19" t="n">
        <f aca="false">X5+1</f>
        <v>45583</v>
      </c>
      <c r="Z5" s="19" t="n">
        <f aca="false">Y5+1</f>
        <v>45584</v>
      </c>
      <c r="AA5" s="20" t="n">
        <f aca="false">Z5+1</f>
        <v>45585</v>
      </c>
      <c r="AB5" s="18" t="n">
        <f aca="false">AA5+1</f>
        <v>45586</v>
      </c>
      <c r="AC5" s="19" t="n">
        <f aca="false">AB5+1</f>
        <v>45587</v>
      </c>
      <c r="AD5" s="19" t="n">
        <f aca="false">AC5+1</f>
        <v>45588</v>
      </c>
      <c r="AE5" s="19" t="n">
        <f aca="false">AD5+1</f>
        <v>45589</v>
      </c>
      <c r="AF5" s="19" t="n">
        <f aca="false">AE5+1</f>
        <v>45590</v>
      </c>
      <c r="AG5" s="19" t="n">
        <f aca="false">AF5+1</f>
        <v>45591</v>
      </c>
      <c r="AH5" s="20" t="n">
        <f aca="false">AG5+1</f>
        <v>45592</v>
      </c>
      <c r="AI5" s="18" t="n">
        <f aca="false">AH5+1</f>
        <v>45593</v>
      </c>
      <c r="AJ5" s="19" t="n">
        <f aca="false">AI5+1</f>
        <v>45594</v>
      </c>
      <c r="AK5" s="19" t="n">
        <f aca="false">AJ5+1</f>
        <v>45595</v>
      </c>
      <c r="AL5" s="19" t="n">
        <f aca="false">AK5+1</f>
        <v>45596</v>
      </c>
      <c r="AM5" s="19" t="n">
        <f aca="false">AL5+1</f>
        <v>45597</v>
      </c>
      <c r="AN5" s="19" t="n">
        <f aca="false">AM5+1</f>
        <v>45598</v>
      </c>
      <c r="AO5" s="20" t="n">
        <f aca="false">AN5+1</f>
        <v>45599</v>
      </c>
      <c r="AP5" s="18" t="n">
        <f aca="false">AO5+1</f>
        <v>45600</v>
      </c>
      <c r="AQ5" s="19" t="n">
        <f aca="false">AP5+1</f>
        <v>45601</v>
      </c>
      <c r="AR5" s="19" t="n">
        <f aca="false">AQ5+1</f>
        <v>45602</v>
      </c>
      <c r="AS5" s="19" t="n">
        <f aca="false">AR5+1</f>
        <v>45603</v>
      </c>
      <c r="AT5" s="19" t="n">
        <f aca="false">AS5+1</f>
        <v>45604</v>
      </c>
      <c r="AU5" s="19" t="n">
        <f aca="false">AT5+1</f>
        <v>45605</v>
      </c>
      <c r="AV5" s="20" t="n">
        <f aca="false">AU5+1</f>
        <v>45606</v>
      </c>
      <c r="AW5" s="18" t="n">
        <f aca="false">AV5+1</f>
        <v>45607</v>
      </c>
      <c r="AX5" s="19" t="n">
        <f aca="false">AW5+1</f>
        <v>45608</v>
      </c>
      <c r="AY5" s="19" t="n">
        <f aca="false">AX5+1</f>
        <v>45609</v>
      </c>
      <c r="AZ5" s="19" t="n">
        <f aca="false">AY5+1</f>
        <v>45610</v>
      </c>
      <c r="BA5" s="19" t="n">
        <f aca="false">AZ5+1</f>
        <v>45611</v>
      </c>
      <c r="BB5" s="19" t="n">
        <f aca="false">BA5+1</f>
        <v>45612</v>
      </c>
      <c r="BC5" s="20" t="n">
        <f aca="false">BB5+1</f>
        <v>45613</v>
      </c>
      <c r="BD5" s="18" t="n">
        <f aca="false">BC5+1</f>
        <v>45614</v>
      </c>
      <c r="BE5" s="19" t="n">
        <f aca="false">BD5+1</f>
        <v>45615</v>
      </c>
      <c r="BF5" s="19" t="n">
        <f aca="false">BE5+1</f>
        <v>45616</v>
      </c>
      <c r="BG5" s="19" t="n">
        <f aca="false">BF5+1</f>
        <v>45617</v>
      </c>
      <c r="BH5" s="19" t="n">
        <f aca="false">BG5+1</f>
        <v>45618</v>
      </c>
      <c r="BI5" s="19" t="n">
        <f aca="false">BH5+1</f>
        <v>45619</v>
      </c>
      <c r="BJ5" s="20" t="n">
        <f aca="false">BI5+1</f>
        <v>45620</v>
      </c>
      <c r="BK5" s="20" t="n">
        <f aca="false">BJ5+1</f>
        <v>45621</v>
      </c>
      <c r="BL5" s="20" t="n">
        <f aca="false">BK5+1</f>
        <v>45622</v>
      </c>
      <c r="BM5" s="20" t="n">
        <f aca="false">BL5+1</f>
        <v>45623</v>
      </c>
      <c r="BN5" s="20" t="n">
        <f aca="false">BM5+1</f>
        <v>45624</v>
      </c>
      <c r="BO5" s="20" t="n">
        <f aca="false">BN5+1</f>
        <v>45625</v>
      </c>
      <c r="BP5" s="20" t="n">
        <f aca="false">BO5+1</f>
        <v>45626</v>
      </c>
      <c r="BQ5" s="20" t="n">
        <f aca="false">BP5+1</f>
        <v>45627</v>
      </c>
      <c r="BR5" s="20" t="n">
        <f aca="false">BQ5+1</f>
        <v>45628</v>
      </c>
      <c r="BS5" s="20" t="n">
        <f aca="false">BR5+1</f>
        <v>45629</v>
      </c>
      <c r="BT5" s="20" t="n">
        <f aca="false">BS5+1</f>
        <v>45630</v>
      </c>
      <c r="BU5" s="20" t="n">
        <f aca="false">BT5+1</f>
        <v>45631</v>
      </c>
      <c r="BV5" s="20" t="n">
        <f aca="false">BU5+1</f>
        <v>45632</v>
      </c>
      <c r="BW5" s="20" t="n">
        <f aca="false">BV5+1</f>
        <v>45633</v>
      </c>
      <c r="BX5" s="20" t="n">
        <f aca="false">BW5+1</f>
        <v>45634</v>
      </c>
      <c r="BY5" s="20" t="n">
        <f aca="false">BX5+1</f>
        <v>45635</v>
      </c>
      <c r="BZ5" s="20" t="n">
        <f aca="false">BY5+1</f>
        <v>45636</v>
      </c>
      <c r="CA5" s="20" t="n">
        <f aca="false">BZ5+1</f>
        <v>45637</v>
      </c>
      <c r="CB5" s="20" t="n">
        <f aca="false">CA5+1</f>
        <v>45638</v>
      </c>
      <c r="CC5" s="20" t="n">
        <f aca="false">CB5+1</f>
        <v>45639</v>
      </c>
      <c r="CD5" s="20" t="n">
        <f aca="false">CC5+1</f>
        <v>45640</v>
      </c>
      <c r="CE5" s="20" t="n">
        <f aca="false">CD5+1</f>
        <v>45641</v>
      </c>
      <c r="CF5" s="20" t="n">
        <f aca="false">CE5+1</f>
        <v>45642</v>
      </c>
      <c r="CG5" s="20" t="n">
        <f aca="false">CF5+1</f>
        <v>45643</v>
      </c>
      <c r="CH5" s="20" t="n">
        <f aca="false">CG5+1</f>
        <v>45644</v>
      </c>
      <c r="CI5" s="20" t="n">
        <f aca="false">CH5+1</f>
        <v>45645</v>
      </c>
      <c r="CJ5" s="20" t="n">
        <f aca="false">CI5+1</f>
        <v>45646</v>
      </c>
      <c r="CK5" s="20" t="n">
        <f aca="false">CJ5+1</f>
        <v>45647</v>
      </c>
      <c r="CL5" s="20" t="n">
        <f aca="false">CK5+1</f>
        <v>45648</v>
      </c>
      <c r="CM5" s="20" t="n">
        <f aca="false">CL5+1</f>
        <v>45649</v>
      </c>
      <c r="CN5" s="20" t="n">
        <f aca="false">CM5+1</f>
        <v>45650</v>
      </c>
      <c r="CO5" s="20" t="n">
        <f aca="false">CN5+1</f>
        <v>45651</v>
      </c>
      <c r="CP5" s="20" t="n">
        <f aca="false">CO5+1</f>
        <v>45652</v>
      </c>
      <c r="CQ5" s="20" t="n">
        <f aca="false">CP5+1</f>
        <v>45653</v>
      </c>
      <c r="CR5" s="20" t="n">
        <f aca="false">CQ5+1</f>
        <v>45654</v>
      </c>
      <c r="CS5" s="20" t="n">
        <f aca="false">CR5+1</f>
        <v>45655</v>
      </c>
    </row>
    <row r="6" customFormat="false" ht="30" hidden="false" customHeight="true" outlineLevel="0" collapsed="false">
      <c r="A6" s="4" t="s">
        <v>10</v>
      </c>
      <c r="B6" s="21" t="s">
        <v>11</v>
      </c>
      <c r="C6" s="22" t="s">
        <v>12</v>
      </c>
      <c r="D6" s="22" t="s">
        <v>13</v>
      </c>
      <c r="E6" s="22"/>
      <c r="F6" s="22" t="s">
        <v>14</v>
      </c>
      <c r="G6" s="23" t="str">
        <f aca="false">LEFT(TEXT(G5,"ddd"),1)</f>
        <v>l</v>
      </c>
      <c r="H6" s="23" t="str">
        <f aca="false">LEFT(TEXT(H5,"ddd"),1)</f>
        <v>m</v>
      </c>
      <c r="I6" s="23" t="str">
        <f aca="false">LEFT(TEXT(I5,"ddd"),1)</f>
        <v>m</v>
      </c>
      <c r="J6" s="23" t="str">
        <f aca="false">LEFT(TEXT(J5,"ddd"),1)</f>
        <v>j</v>
      </c>
      <c r="K6" s="23" t="str">
        <f aca="false">LEFT(TEXT(K5,"ddd"),1)</f>
        <v>v</v>
      </c>
      <c r="L6" s="23" t="str">
        <f aca="false">LEFT(TEXT(L5,"ddd"),1)</f>
        <v>s</v>
      </c>
      <c r="M6" s="23" t="str">
        <f aca="false">LEFT(TEXT(M5,"ddd"),1)</f>
        <v>d</v>
      </c>
      <c r="N6" s="23" t="str">
        <f aca="false">LEFT(TEXT(N5,"ddd"),1)</f>
        <v>l</v>
      </c>
      <c r="O6" s="23" t="str">
        <f aca="false">LEFT(TEXT(O5,"ddd"),1)</f>
        <v>m</v>
      </c>
      <c r="P6" s="23" t="str">
        <f aca="false">LEFT(TEXT(P5,"ddd"),1)</f>
        <v>m</v>
      </c>
      <c r="Q6" s="23" t="str">
        <f aca="false">LEFT(TEXT(Q5,"ddd"),1)</f>
        <v>j</v>
      </c>
      <c r="R6" s="23" t="str">
        <f aca="false">LEFT(TEXT(R5,"ddd"),1)</f>
        <v>v</v>
      </c>
      <c r="S6" s="23" t="str">
        <f aca="false">LEFT(TEXT(S5,"ddd"),1)</f>
        <v>s</v>
      </c>
      <c r="T6" s="23" t="str">
        <f aca="false">LEFT(TEXT(T5,"ddd"),1)</f>
        <v>d</v>
      </c>
      <c r="U6" s="23" t="str">
        <f aca="false">LEFT(TEXT(U5,"ddd"),1)</f>
        <v>l</v>
      </c>
      <c r="V6" s="23" t="str">
        <f aca="false">LEFT(TEXT(V5,"ddd"),1)</f>
        <v>m</v>
      </c>
      <c r="W6" s="23" t="str">
        <f aca="false">LEFT(TEXT(W5,"ddd"),1)</f>
        <v>m</v>
      </c>
      <c r="X6" s="23" t="str">
        <f aca="false">LEFT(TEXT(X5,"ddd"),1)</f>
        <v>j</v>
      </c>
      <c r="Y6" s="23" t="str">
        <f aca="false">LEFT(TEXT(Y5,"ddd"),1)</f>
        <v>v</v>
      </c>
      <c r="Z6" s="23" t="str">
        <f aca="false">LEFT(TEXT(Z5,"ddd"),1)</f>
        <v>s</v>
      </c>
      <c r="AA6" s="23" t="str">
        <f aca="false">LEFT(TEXT(AA5,"ddd"),1)</f>
        <v>d</v>
      </c>
      <c r="AB6" s="23" t="str">
        <f aca="false">LEFT(TEXT(AB5,"ddd"),1)</f>
        <v>l</v>
      </c>
      <c r="AC6" s="23" t="str">
        <f aca="false">LEFT(TEXT(AC5,"ddd"),1)</f>
        <v>m</v>
      </c>
      <c r="AD6" s="23" t="str">
        <f aca="false">LEFT(TEXT(AD5,"ddd"),1)</f>
        <v>m</v>
      </c>
      <c r="AE6" s="23" t="str">
        <f aca="false">LEFT(TEXT(AE5,"ddd"),1)</f>
        <v>j</v>
      </c>
      <c r="AF6" s="23" t="str">
        <f aca="false">LEFT(TEXT(AF5,"ddd"),1)</f>
        <v>v</v>
      </c>
      <c r="AG6" s="23" t="str">
        <f aca="false">LEFT(TEXT(AG5,"ddd"),1)</f>
        <v>s</v>
      </c>
      <c r="AH6" s="23" t="str">
        <f aca="false">LEFT(TEXT(AH5,"ddd"),1)</f>
        <v>d</v>
      </c>
      <c r="AI6" s="23" t="str">
        <f aca="false">LEFT(TEXT(AI5,"ddd"),1)</f>
        <v>l</v>
      </c>
      <c r="AJ6" s="23" t="str">
        <f aca="false">LEFT(TEXT(AJ5,"ddd"),1)</f>
        <v>m</v>
      </c>
      <c r="AK6" s="23" t="str">
        <f aca="false">LEFT(TEXT(AK5,"ddd"),1)</f>
        <v>m</v>
      </c>
      <c r="AL6" s="23" t="str">
        <f aca="false">LEFT(TEXT(AL5,"ddd"),1)</f>
        <v>j</v>
      </c>
      <c r="AM6" s="23" t="str">
        <f aca="false">LEFT(TEXT(AM5,"ddd"),1)</f>
        <v>v</v>
      </c>
      <c r="AN6" s="23" t="str">
        <f aca="false">LEFT(TEXT(AN5,"ddd"),1)</f>
        <v>s</v>
      </c>
      <c r="AO6" s="23" t="str">
        <f aca="false">LEFT(TEXT(AO5,"ddd"),1)</f>
        <v>d</v>
      </c>
      <c r="AP6" s="23" t="str">
        <f aca="false">LEFT(TEXT(AP5,"ddd"),1)</f>
        <v>l</v>
      </c>
      <c r="AQ6" s="23" t="str">
        <f aca="false">LEFT(TEXT(AQ5,"ddd"),1)</f>
        <v>m</v>
      </c>
      <c r="AR6" s="23" t="str">
        <f aca="false">LEFT(TEXT(AR5,"ddd"),1)</f>
        <v>m</v>
      </c>
      <c r="AS6" s="23" t="str">
        <f aca="false">LEFT(TEXT(AS5,"ddd"),1)</f>
        <v>j</v>
      </c>
      <c r="AT6" s="23" t="str">
        <f aca="false">LEFT(TEXT(AT5,"ddd"),1)</f>
        <v>v</v>
      </c>
      <c r="AU6" s="23" t="str">
        <f aca="false">LEFT(TEXT(AU5,"ddd"),1)</f>
        <v>s</v>
      </c>
      <c r="AV6" s="23" t="str">
        <f aca="false">LEFT(TEXT(AV5,"ddd"),1)</f>
        <v>d</v>
      </c>
      <c r="AW6" s="23" t="str">
        <f aca="false">LEFT(TEXT(AW5,"ddd"),1)</f>
        <v>l</v>
      </c>
      <c r="AX6" s="23" t="str">
        <f aca="false">LEFT(TEXT(AX5,"ddd"),1)</f>
        <v>m</v>
      </c>
      <c r="AY6" s="23" t="str">
        <f aca="false">LEFT(TEXT(AY5,"ddd"),1)</f>
        <v>m</v>
      </c>
      <c r="AZ6" s="23" t="str">
        <f aca="false">LEFT(TEXT(AZ5,"ddd"),1)</f>
        <v>j</v>
      </c>
      <c r="BA6" s="23" t="str">
        <f aca="false">LEFT(TEXT(BA5,"ddd"),1)</f>
        <v>v</v>
      </c>
      <c r="BB6" s="23" t="str">
        <f aca="false">LEFT(TEXT(BB5,"ddd"),1)</f>
        <v>s</v>
      </c>
      <c r="BC6" s="23" t="str">
        <f aca="false">LEFT(TEXT(BC5,"ddd"),1)</f>
        <v>d</v>
      </c>
      <c r="BD6" s="23" t="str">
        <f aca="false">LEFT(TEXT(BD5,"ddd"),1)</f>
        <v>l</v>
      </c>
      <c r="BE6" s="23" t="str">
        <f aca="false">LEFT(TEXT(BE5,"ddd"),1)</f>
        <v>m</v>
      </c>
      <c r="BF6" s="23" t="str">
        <f aca="false">LEFT(TEXT(BF5,"ddd"),1)</f>
        <v>m</v>
      </c>
      <c r="BG6" s="23" t="str">
        <f aca="false">LEFT(TEXT(BG5,"ddd"),1)</f>
        <v>j</v>
      </c>
      <c r="BH6" s="23" t="str">
        <f aca="false">LEFT(TEXT(BH5,"ddd"),1)</f>
        <v>v</v>
      </c>
      <c r="BI6" s="23" t="str">
        <f aca="false">LEFT(TEXT(BI5,"ddd"),1)</f>
        <v>s</v>
      </c>
      <c r="BJ6" s="23" t="str">
        <f aca="false">LEFT(TEXT(BJ5,"ddd"),1)</f>
        <v>d</v>
      </c>
      <c r="BK6" s="23" t="str">
        <f aca="false">LEFT(TEXT(BK5,"ddd"),1)</f>
        <v>l</v>
      </c>
      <c r="BL6" s="23" t="str">
        <f aca="false">LEFT(TEXT(BL5,"ddd"),1)</f>
        <v>m</v>
      </c>
      <c r="BM6" s="23" t="str">
        <f aca="false">LEFT(TEXT(BM5,"ddd"),1)</f>
        <v>m</v>
      </c>
      <c r="BN6" s="23" t="str">
        <f aca="false">LEFT(TEXT(BN5,"ddd"),1)</f>
        <v>j</v>
      </c>
      <c r="BO6" s="23" t="str">
        <f aca="false">LEFT(TEXT(BO5,"ddd"),1)</f>
        <v>v</v>
      </c>
      <c r="BP6" s="23" t="str">
        <f aca="false">LEFT(TEXT(BP5,"ddd"),1)</f>
        <v>s</v>
      </c>
      <c r="BQ6" s="23" t="str">
        <f aca="false">LEFT(TEXT(BQ5,"ddd"),1)</f>
        <v>d</v>
      </c>
      <c r="BR6" s="23" t="str">
        <f aca="false">LEFT(TEXT(BR5,"ddd"),1)</f>
        <v>l</v>
      </c>
      <c r="BS6" s="23" t="str">
        <f aca="false">LEFT(TEXT(BS5,"ddd"),1)</f>
        <v>m</v>
      </c>
      <c r="BT6" s="23" t="str">
        <f aca="false">LEFT(TEXT(BT5,"ddd"),1)</f>
        <v>m</v>
      </c>
      <c r="BU6" s="23" t="str">
        <f aca="false">LEFT(TEXT(BU5,"ddd"),1)</f>
        <v>j</v>
      </c>
      <c r="BV6" s="23" t="str">
        <f aca="false">LEFT(TEXT(BV5,"ddd"),1)</f>
        <v>v</v>
      </c>
      <c r="BW6" s="23" t="str">
        <f aca="false">LEFT(TEXT(BW5,"ddd"),1)</f>
        <v>s</v>
      </c>
      <c r="BX6" s="23" t="str">
        <f aca="false">LEFT(TEXT(BX5,"ddd"),1)</f>
        <v>d</v>
      </c>
      <c r="BY6" s="23" t="str">
        <f aca="false">LEFT(TEXT(BY5,"ddd"),1)</f>
        <v>l</v>
      </c>
      <c r="BZ6" s="23" t="str">
        <f aca="false">LEFT(TEXT(BZ5,"ddd"),1)</f>
        <v>m</v>
      </c>
      <c r="CA6" s="23" t="str">
        <f aca="false">LEFT(TEXT(CA5,"ddd"),1)</f>
        <v>m</v>
      </c>
      <c r="CB6" s="23" t="str">
        <f aca="false">LEFT(TEXT(CB5,"ddd"),1)</f>
        <v>j</v>
      </c>
      <c r="CC6" s="23" t="str">
        <f aca="false">LEFT(TEXT(CC5,"ddd"),1)</f>
        <v>v</v>
      </c>
      <c r="CD6" s="23" t="str">
        <f aca="false">LEFT(TEXT(CD5,"ddd"),1)</f>
        <v>s</v>
      </c>
      <c r="CE6" s="23" t="str">
        <f aca="false">LEFT(TEXT(CE5,"ddd"),1)</f>
        <v>d</v>
      </c>
      <c r="CF6" s="23" t="str">
        <f aca="false">LEFT(TEXT(CF5,"ddd"),1)</f>
        <v>l</v>
      </c>
      <c r="CG6" s="23" t="str">
        <f aca="false">LEFT(TEXT(CG5,"ddd"),1)</f>
        <v>m</v>
      </c>
      <c r="CH6" s="23" t="str">
        <f aca="false">LEFT(TEXT(CH5,"ddd"),1)</f>
        <v>m</v>
      </c>
      <c r="CI6" s="23" t="str">
        <f aca="false">LEFT(TEXT(CI5,"ddd"),1)</f>
        <v>j</v>
      </c>
      <c r="CJ6" s="23" t="str">
        <f aca="false">LEFT(TEXT(CJ5,"ddd"),1)</f>
        <v>v</v>
      </c>
      <c r="CK6" s="23" t="str">
        <f aca="false">LEFT(TEXT(CK5,"ddd"),1)</f>
        <v>s</v>
      </c>
      <c r="CL6" s="23" t="str">
        <f aca="false">LEFT(TEXT(CL5,"ddd"),1)</f>
        <v>d</v>
      </c>
      <c r="CM6" s="23" t="str">
        <f aca="false">LEFT(TEXT(CM5,"ddd"),1)</f>
        <v>l</v>
      </c>
      <c r="CN6" s="23" t="str">
        <f aca="false">LEFT(TEXT(CN5,"ddd"),1)</f>
        <v>m</v>
      </c>
      <c r="CO6" s="23" t="str">
        <f aca="false">LEFT(TEXT(CO5,"ddd"),1)</f>
        <v>m</v>
      </c>
      <c r="CP6" s="23" t="str">
        <f aca="false">LEFT(TEXT(CP5,"ddd"),1)</f>
        <v>j</v>
      </c>
      <c r="CQ6" s="23" t="str">
        <f aca="false">LEFT(TEXT(CQ5,"ddd"),1)</f>
        <v>v</v>
      </c>
      <c r="CR6" s="23" t="str">
        <f aca="false">LEFT(TEXT(CR5,"ddd"),1)</f>
        <v>s</v>
      </c>
      <c r="CS6" s="23" t="str">
        <f aca="false">LEFT(TEXT(CS5,"ddd"),1)</f>
        <v>d</v>
      </c>
    </row>
    <row r="7" customFormat="false" ht="30" hidden="true" customHeight="true" outlineLevel="0" collapsed="false">
      <c r="A7" s="1" t="s">
        <v>15</v>
      </c>
      <c r="C7" s="24"/>
      <c r="F7" s="2" t="str">
        <f aca="false">IF(OR(ISBLANK(Fecha_incio),ISBLANK(Fecha_final)),"",Fecha_final-Fecha_incio+1)</f>
        <v/>
      </c>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c r="CT7" s="26"/>
    </row>
    <row r="8" s="26" customFormat="true" ht="30" hidden="false" customHeight="true" outlineLevel="0" collapsed="false">
      <c r="A8" s="4" t="s">
        <v>16</v>
      </c>
      <c r="B8" s="27" t="s">
        <v>17</v>
      </c>
      <c r="C8" s="28" t="s">
        <v>18</v>
      </c>
      <c r="D8" s="29" t="n">
        <f aca="false">InicioDelProyecto</f>
        <v>45565</v>
      </c>
      <c r="E8" s="30"/>
      <c r="F8" s="30" t="e">
        <f aca="false">IF(OR(ISBLANK(Fecha_incio),ISBLANK(Fecha_final)),"",Fecha_final-Fecha_incio+1)</f>
        <v>#REF!</v>
      </c>
      <c r="G8" s="31"/>
      <c r="H8" s="31"/>
      <c r="I8" s="31"/>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AMH8" s="2"/>
      <c r="AMI8" s="2"/>
      <c r="AMJ8" s="2"/>
    </row>
    <row r="9" s="26" customFormat="true" ht="30" hidden="false" customHeight="true" outlineLevel="0" collapsed="false">
      <c r="A9" s="4" t="s">
        <v>19</v>
      </c>
      <c r="B9" s="27" t="s">
        <v>20</v>
      </c>
      <c r="C9" s="28" t="s">
        <v>18</v>
      </c>
      <c r="D9" s="29" t="n">
        <v>45568</v>
      </c>
      <c r="E9" s="30"/>
      <c r="F9" s="30" t="e">
        <f aca="false">IF(OR(ISBLANK(Fecha_incio),ISBLANK(Fecha_final)),"",Fecha_final-Fecha_incio+1)</f>
        <v>#REF!</v>
      </c>
      <c r="G9" s="25"/>
      <c r="H9" s="25"/>
      <c r="I9" s="25"/>
      <c r="J9" s="31"/>
      <c r="K9" s="31"/>
      <c r="L9" s="2"/>
      <c r="M9" s="25"/>
      <c r="N9" s="31"/>
      <c r="O9" s="25"/>
      <c r="P9" s="25"/>
      <c r="Q9" s="25"/>
      <c r="R9" s="25"/>
      <c r="S9" s="32"/>
      <c r="T9" s="32"/>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AMH9" s="2"/>
      <c r="AMI9" s="2"/>
      <c r="AMJ9" s="2"/>
    </row>
    <row r="10" s="26" customFormat="true" ht="30" hidden="false" customHeight="true" outlineLevel="0" collapsed="false">
      <c r="A10" s="1"/>
      <c r="B10" s="27" t="s">
        <v>21</v>
      </c>
      <c r="C10" s="28" t="s">
        <v>18</v>
      </c>
      <c r="D10" s="29" t="n">
        <v>45573</v>
      </c>
      <c r="E10" s="30"/>
      <c r="F10" s="30" t="e">
        <f aca="false">IF(OR(ISBLANK(Fecha_incio),ISBLANK(Fecha_final)),"",Fecha_final-Fecha_incio+1)</f>
        <v>#REF!</v>
      </c>
      <c r="G10" s="25"/>
      <c r="H10" s="25"/>
      <c r="I10" s="25"/>
      <c r="J10" s="25"/>
      <c r="K10" s="25"/>
      <c r="L10" s="25"/>
      <c r="M10" s="25"/>
      <c r="N10" s="25"/>
      <c r="O10" s="31"/>
      <c r="P10" s="31"/>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AMH10" s="2"/>
      <c r="AMI10" s="2"/>
      <c r="AMJ10" s="2"/>
    </row>
    <row r="11" s="26" customFormat="true" ht="30" hidden="false" customHeight="true" outlineLevel="0" collapsed="false">
      <c r="A11" s="1"/>
      <c r="B11" s="27" t="s">
        <v>22</v>
      </c>
      <c r="C11" s="28" t="s">
        <v>18</v>
      </c>
      <c r="D11" s="29" t="n">
        <v>45575</v>
      </c>
      <c r="E11" s="30"/>
      <c r="F11" s="30" t="e">
        <f aca="false">IF(OR(ISBLANK(Fecha_incio),ISBLANK(Fecha_final)),"",Fecha_final-Fecha_incio+1)</f>
        <v>#REF!</v>
      </c>
      <c r="G11" s="25"/>
      <c r="H11" s="25"/>
      <c r="I11" s="25"/>
      <c r="J11" s="25"/>
      <c r="K11" s="25"/>
      <c r="L11" s="25"/>
      <c r="M11" s="25"/>
      <c r="N11" s="25"/>
      <c r="O11" s="25"/>
      <c r="P11" s="25"/>
      <c r="Q11" s="31"/>
      <c r="R11" s="31"/>
      <c r="S11" s="25"/>
      <c r="T11" s="25"/>
      <c r="U11" s="25"/>
      <c r="V11" s="25"/>
      <c r="W11" s="32"/>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AMH11" s="2"/>
      <c r="AMI11" s="2"/>
      <c r="AMJ11" s="2"/>
    </row>
    <row r="12" s="26" customFormat="true" ht="30" hidden="false" customHeight="true" outlineLevel="0" collapsed="false">
      <c r="A12" s="1"/>
      <c r="B12" s="27" t="s">
        <v>23</v>
      </c>
      <c r="C12" s="28" t="s">
        <v>18</v>
      </c>
      <c r="D12" s="29" t="n">
        <v>45579</v>
      </c>
      <c r="E12" s="30"/>
      <c r="F12" s="30" t="e">
        <f aca="false">IF(OR(ISBLANK(Fecha_incio),ISBLANK(Fecha_final)),"",Fecha_final-Fecha_incio+1)</f>
        <v>#REF!</v>
      </c>
      <c r="G12" s="25"/>
      <c r="H12" s="25"/>
      <c r="I12" s="25"/>
      <c r="J12" s="25"/>
      <c r="K12" s="25"/>
      <c r="L12" s="25"/>
      <c r="M12" s="25"/>
      <c r="N12" s="25"/>
      <c r="O12" s="25"/>
      <c r="P12" s="25"/>
      <c r="Q12" s="25"/>
      <c r="R12" s="25"/>
      <c r="S12" s="25"/>
      <c r="T12" s="25"/>
      <c r="U12" s="33"/>
      <c r="V12" s="31"/>
      <c r="W12" s="31"/>
      <c r="X12" s="31"/>
      <c r="Y12" s="31"/>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c r="AMH12" s="2"/>
      <c r="AMI12" s="2"/>
      <c r="AMJ12" s="2"/>
    </row>
    <row r="13" s="26" customFormat="true" ht="30" hidden="false" customHeight="true" outlineLevel="0" collapsed="false">
      <c r="A13" s="4"/>
      <c r="B13" s="34" t="s">
        <v>24</v>
      </c>
      <c r="C13" s="35" t="s">
        <v>18</v>
      </c>
      <c r="D13" s="36" t="n">
        <v>45587</v>
      </c>
      <c r="E13" s="30"/>
      <c r="F13" s="30" t="e">
        <f aca="false">IF(OR(ISBLANK(Fecha_incio),ISBLANK(Fecha_final)),"",Fecha_final-Fecha_incio+1)</f>
        <v>#REF!</v>
      </c>
      <c r="G13" s="25"/>
      <c r="H13" s="25"/>
      <c r="I13" s="25"/>
      <c r="J13" s="25"/>
      <c r="K13" s="25"/>
      <c r="L13" s="25"/>
      <c r="M13" s="25"/>
      <c r="N13" s="25"/>
      <c r="O13" s="25"/>
      <c r="P13" s="25"/>
      <c r="Q13" s="25"/>
      <c r="R13" s="25"/>
      <c r="S13" s="25"/>
      <c r="T13" s="25"/>
      <c r="U13" s="25"/>
      <c r="V13" s="25"/>
      <c r="W13" s="25"/>
      <c r="X13" s="25"/>
      <c r="Y13" s="2"/>
      <c r="Z13" s="25"/>
      <c r="AA13" s="25"/>
      <c r="AB13" s="37"/>
      <c r="AC13" s="37"/>
      <c r="AD13" s="37"/>
      <c r="AE13" s="37"/>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AMH13" s="2"/>
      <c r="AMI13" s="2"/>
      <c r="AMJ13" s="2"/>
    </row>
    <row r="14" s="26" customFormat="true" ht="30" hidden="false" customHeight="true" outlineLevel="0" collapsed="false">
      <c r="A14" s="1"/>
      <c r="B14" s="34" t="s">
        <v>25</v>
      </c>
      <c r="C14" s="35" t="s">
        <v>18</v>
      </c>
      <c r="D14" s="36" t="n">
        <f aca="false">D13+2</f>
        <v>45589</v>
      </c>
      <c r="E14" s="30"/>
      <c r="F14" s="30" t="e">
        <f aca="false">IF(OR(ISBLANK(Fecha_incio),ISBLANK(Fecha_final)),"",Fecha_final-Fecha_incio+1)</f>
        <v>#REF!</v>
      </c>
      <c r="G14" s="25"/>
      <c r="H14" s="25"/>
      <c r="I14" s="25"/>
      <c r="J14" s="25"/>
      <c r="K14" s="25"/>
      <c r="L14" s="25"/>
      <c r="M14" s="25"/>
      <c r="N14" s="25"/>
      <c r="O14" s="25"/>
      <c r="P14" s="25"/>
      <c r="Q14" s="25"/>
      <c r="R14" s="25"/>
      <c r="S14" s="32"/>
      <c r="T14" s="32"/>
      <c r="U14" s="25"/>
      <c r="V14" s="25"/>
      <c r="W14" s="25"/>
      <c r="X14" s="25"/>
      <c r="Y14" s="25"/>
      <c r="Z14" s="25"/>
      <c r="AA14" s="25"/>
      <c r="AB14" s="25"/>
      <c r="AC14" s="25"/>
      <c r="AD14" s="25"/>
      <c r="AE14" s="25"/>
      <c r="AF14" s="37"/>
      <c r="AG14" s="25"/>
      <c r="AH14" s="25"/>
      <c r="AI14" s="37"/>
      <c r="AJ14" s="37"/>
      <c r="AK14" s="37"/>
      <c r="AL14" s="37"/>
      <c r="AM14" s="37"/>
      <c r="AN14" s="25"/>
      <c r="AO14" s="25"/>
      <c r="AP14" s="37"/>
      <c r="AQ14" s="37"/>
      <c r="AR14" s="37"/>
      <c r="AS14" s="37"/>
      <c r="AT14" s="37"/>
      <c r="AU14" s="25"/>
      <c r="AV14" s="25"/>
      <c r="AW14" s="37"/>
      <c r="AX14" s="37"/>
      <c r="AY14" s="37"/>
      <c r="AZ14" s="37"/>
      <c r="BA14" s="37"/>
      <c r="BB14" s="25"/>
      <c r="BC14" s="25"/>
      <c r="BD14" s="37"/>
      <c r="BE14" s="37"/>
      <c r="BF14" s="37"/>
      <c r="BG14" s="37"/>
      <c r="BH14" s="37"/>
      <c r="BI14" s="25"/>
      <c r="BJ14" s="25"/>
      <c r="BK14" s="37"/>
      <c r="BL14" s="37"/>
      <c r="BM14" s="37"/>
      <c r="BN14" s="37"/>
      <c r="BO14" s="37"/>
      <c r="BP14" s="25"/>
      <c r="BQ14" s="25"/>
      <c r="BR14" s="37"/>
      <c r="BS14" s="37"/>
      <c r="BT14" s="37"/>
      <c r="BU14" s="37"/>
      <c r="BV14" s="37"/>
      <c r="BW14" s="25"/>
      <c r="BX14" s="25"/>
      <c r="BY14" s="37"/>
      <c r="BZ14" s="37"/>
      <c r="CA14" s="37"/>
      <c r="CB14" s="37"/>
      <c r="CC14" s="25"/>
      <c r="CD14" s="25"/>
      <c r="CE14" s="25"/>
      <c r="CF14" s="25"/>
      <c r="CG14" s="25"/>
      <c r="CH14" s="25"/>
      <c r="CI14" s="25"/>
      <c r="CJ14" s="25"/>
      <c r="CK14" s="25"/>
      <c r="CL14" s="25"/>
      <c r="CM14" s="25"/>
      <c r="CN14" s="25"/>
      <c r="CO14" s="25"/>
      <c r="CP14" s="25"/>
      <c r="CQ14" s="25"/>
      <c r="CR14" s="25"/>
      <c r="CS14" s="25"/>
      <c r="AMH14" s="2"/>
      <c r="AMI14" s="2"/>
      <c r="AMJ14" s="2"/>
    </row>
    <row r="15" s="26" customFormat="true" ht="30" hidden="false" customHeight="true" outlineLevel="0" collapsed="false">
      <c r="A15" s="1"/>
      <c r="B15" s="34" t="s">
        <v>26</v>
      </c>
      <c r="C15" s="35" t="s">
        <v>18</v>
      </c>
      <c r="D15" s="36" t="n">
        <v>38290</v>
      </c>
      <c r="E15" s="30"/>
      <c r="F15" s="30" t="e">
        <f aca="false">IF(OR(ISBLANK(Fecha_incio),ISBLANK(Fecha_final)),"",Fecha_final-Fecha_incio+1)</f>
        <v>#REF!</v>
      </c>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37"/>
      <c r="AL15" s="37"/>
      <c r="AM15" s="25"/>
      <c r="AN15" s="25"/>
      <c r="AO15" s="25"/>
      <c r="AP15" s="25"/>
      <c r="AQ15" s="25"/>
      <c r="AR15" s="37"/>
      <c r="AS15" s="37"/>
      <c r="AT15" s="25"/>
      <c r="AU15" s="25"/>
      <c r="AV15" s="25"/>
      <c r="AW15" s="25"/>
      <c r="AX15" s="25"/>
      <c r="AY15" s="37"/>
      <c r="AZ15" s="37"/>
      <c r="BA15" s="25"/>
      <c r="BB15" s="25"/>
      <c r="BC15" s="25"/>
      <c r="BD15" s="25"/>
      <c r="BE15" s="25"/>
      <c r="BF15" s="37"/>
      <c r="BG15" s="37"/>
      <c r="BH15" s="25"/>
      <c r="BI15" s="25"/>
      <c r="BJ15" s="25"/>
      <c r="BK15" s="25"/>
      <c r="BL15" s="25"/>
      <c r="BM15" s="37"/>
      <c r="BN15" s="37"/>
      <c r="BO15" s="25"/>
      <c r="BP15" s="25"/>
      <c r="BQ15" s="25"/>
      <c r="BR15" s="25"/>
      <c r="BS15" s="25"/>
      <c r="BT15" s="37"/>
      <c r="BU15" s="37"/>
      <c r="BV15" s="25"/>
      <c r="BW15" s="25"/>
      <c r="BX15" s="25"/>
      <c r="BY15" s="25"/>
      <c r="BZ15" s="37"/>
      <c r="CA15" s="37"/>
      <c r="CB15" s="25"/>
      <c r="CC15" s="25"/>
      <c r="CD15" s="25"/>
      <c r="CE15" s="25"/>
      <c r="CF15" s="25"/>
      <c r="CG15" s="25"/>
      <c r="CH15" s="25"/>
      <c r="CI15" s="25"/>
      <c r="CJ15" s="25"/>
      <c r="CK15" s="25"/>
      <c r="CL15" s="25"/>
      <c r="CM15" s="25"/>
      <c r="CN15" s="25"/>
      <c r="CO15" s="25"/>
      <c r="CP15" s="25"/>
      <c r="CQ15" s="25"/>
      <c r="CR15" s="25"/>
      <c r="CS15" s="25"/>
      <c r="AMH15" s="2"/>
      <c r="AMI15" s="2"/>
      <c r="AMJ15" s="2"/>
    </row>
    <row r="16" s="26" customFormat="true" ht="30" hidden="false" customHeight="true" outlineLevel="0" collapsed="false">
      <c r="A16" s="1"/>
      <c r="B16" s="34" t="s">
        <v>27</v>
      </c>
      <c r="C16" s="35" t="s">
        <v>18</v>
      </c>
      <c r="D16" s="36" t="n">
        <f aca="false">D15</f>
        <v>38290</v>
      </c>
      <c r="E16" s="30"/>
      <c r="F16" s="30" t="e">
        <f aca="false">IF(OR(ISBLANK(Fecha_incio),ISBLANK(Fecha_final)),"",Fecha_final-Fecha_incio+1)</f>
        <v>#REF!</v>
      </c>
      <c r="G16" s="25"/>
      <c r="H16" s="25"/>
      <c r="I16" s="25"/>
      <c r="J16" s="25"/>
      <c r="K16" s="25"/>
      <c r="L16" s="25"/>
      <c r="M16" s="25"/>
      <c r="N16" s="25"/>
      <c r="O16" s="25"/>
      <c r="P16" s="25"/>
      <c r="Q16" s="25"/>
      <c r="R16" s="25"/>
      <c r="S16" s="25"/>
      <c r="T16" s="25"/>
      <c r="U16" s="25"/>
      <c r="V16" s="25"/>
      <c r="W16" s="32"/>
      <c r="X16" s="25"/>
      <c r="Y16" s="25"/>
      <c r="Z16" s="25"/>
      <c r="AA16" s="25"/>
      <c r="AB16" s="25"/>
      <c r="AC16" s="25"/>
      <c r="AD16" s="25"/>
      <c r="AE16" s="25"/>
      <c r="AF16" s="25"/>
      <c r="AG16" s="25"/>
      <c r="AH16" s="25"/>
      <c r="AI16" s="25"/>
      <c r="AJ16" s="25"/>
      <c r="AK16" s="25"/>
      <c r="AL16" s="25"/>
      <c r="AM16" s="37"/>
      <c r="AN16" s="25"/>
      <c r="AO16" s="25"/>
      <c r="AP16" s="25"/>
      <c r="AQ16" s="25"/>
      <c r="AR16" s="25"/>
      <c r="AS16" s="25"/>
      <c r="AT16" s="37"/>
      <c r="AU16" s="25"/>
      <c r="AV16" s="25"/>
      <c r="AW16" s="25"/>
      <c r="AX16" s="25"/>
      <c r="AY16" s="25"/>
      <c r="AZ16" s="25"/>
      <c r="BA16" s="37"/>
      <c r="BB16" s="25"/>
      <c r="BC16" s="25"/>
      <c r="BD16" s="25"/>
      <c r="BE16" s="25"/>
      <c r="BF16" s="25"/>
      <c r="BG16" s="25"/>
      <c r="BH16" s="37"/>
      <c r="BI16" s="25"/>
      <c r="BJ16" s="25"/>
      <c r="BK16" s="25"/>
      <c r="BL16" s="25"/>
      <c r="BM16" s="25"/>
      <c r="BN16" s="25"/>
      <c r="BO16" s="37"/>
      <c r="BP16" s="25"/>
      <c r="BQ16" s="25"/>
      <c r="BR16" s="25"/>
      <c r="BS16" s="25"/>
      <c r="BT16" s="25"/>
      <c r="BU16" s="25"/>
      <c r="BV16" s="37"/>
      <c r="BW16" s="25"/>
      <c r="BX16" s="25"/>
      <c r="BY16" s="25"/>
      <c r="BZ16" s="25"/>
      <c r="CA16" s="25"/>
      <c r="CB16" s="37"/>
      <c r="CC16" s="25"/>
      <c r="CD16" s="25"/>
      <c r="CE16" s="25"/>
      <c r="CF16" s="25"/>
      <c r="CG16" s="25"/>
      <c r="CH16" s="25"/>
      <c r="CI16" s="25"/>
      <c r="CJ16" s="25"/>
      <c r="CK16" s="25"/>
      <c r="CL16" s="25"/>
      <c r="CM16" s="25"/>
      <c r="CN16" s="25"/>
      <c r="CO16" s="25"/>
      <c r="CP16" s="25"/>
      <c r="CQ16" s="25"/>
      <c r="CR16" s="25"/>
      <c r="CS16" s="25"/>
      <c r="AMH16" s="2"/>
      <c r="AMI16" s="2"/>
      <c r="AMJ16" s="2"/>
    </row>
    <row r="17" s="26" customFormat="true" ht="30" hidden="false" customHeight="true" outlineLevel="0" collapsed="false">
      <c r="A17" s="1"/>
      <c r="B17" s="34" t="s">
        <v>28</v>
      </c>
      <c r="C17" s="35" t="s">
        <v>18</v>
      </c>
      <c r="D17" s="36" t="n">
        <f aca="false">D16</f>
        <v>38290</v>
      </c>
      <c r="E17" s="30"/>
      <c r="F17" s="30" t="e">
        <f aca="false">IF(OR(ISBLANK(Fecha_incio),ISBLANK(Fecha_final)),"",Fecha_final-Fecha_incio+1)</f>
        <v>#REF!</v>
      </c>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37"/>
      <c r="AN17" s="25"/>
      <c r="AO17" s="25"/>
      <c r="AP17" s="25"/>
      <c r="AQ17" s="25"/>
      <c r="AR17" s="25"/>
      <c r="AS17" s="25"/>
      <c r="AT17" s="37"/>
      <c r="AU17" s="25"/>
      <c r="AV17" s="25"/>
      <c r="AW17" s="25"/>
      <c r="AX17" s="25"/>
      <c r="AY17" s="25"/>
      <c r="AZ17" s="25"/>
      <c r="BA17" s="37"/>
      <c r="BB17" s="25"/>
      <c r="BC17" s="25"/>
      <c r="BD17" s="25"/>
      <c r="BE17" s="25"/>
      <c r="BF17" s="25"/>
      <c r="BG17" s="25"/>
      <c r="BH17" s="37"/>
      <c r="BI17" s="25"/>
      <c r="BJ17" s="25"/>
      <c r="BK17" s="25"/>
      <c r="BL17" s="25"/>
      <c r="BM17" s="25"/>
      <c r="BN17" s="25"/>
      <c r="BO17" s="37"/>
      <c r="BP17" s="25"/>
      <c r="BQ17" s="25"/>
      <c r="BR17" s="25"/>
      <c r="BS17" s="25"/>
      <c r="BT17" s="25"/>
      <c r="BU17" s="25"/>
      <c r="BV17" s="37"/>
      <c r="BW17" s="25"/>
      <c r="BX17" s="25"/>
      <c r="BY17" s="25"/>
      <c r="BZ17" s="25"/>
      <c r="CA17" s="25"/>
      <c r="CB17" s="37"/>
      <c r="CC17" s="25"/>
      <c r="CD17" s="25"/>
      <c r="CE17" s="25"/>
      <c r="CF17" s="25"/>
      <c r="CG17" s="25"/>
      <c r="CH17" s="25"/>
      <c r="CI17" s="25"/>
      <c r="CJ17" s="25"/>
      <c r="CK17" s="25"/>
      <c r="CL17" s="25"/>
      <c r="CM17" s="25"/>
      <c r="CN17" s="25"/>
      <c r="CO17" s="25"/>
      <c r="CP17" s="25"/>
      <c r="CQ17" s="25"/>
      <c r="CR17" s="25"/>
      <c r="CS17" s="25"/>
      <c r="AMH17" s="2"/>
      <c r="AMI17" s="2"/>
      <c r="AMJ17" s="2"/>
    </row>
    <row r="18" s="26" customFormat="true" ht="30" hidden="false" customHeight="true" outlineLevel="0" collapsed="false">
      <c r="A18" s="1"/>
      <c r="B18" s="38" t="s">
        <v>29</v>
      </c>
      <c r="C18" s="39" t="s">
        <v>18</v>
      </c>
      <c r="D18" s="40" t="n">
        <v>45628</v>
      </c>
      <c r="E18" s="30"/>
      <c r="F18" s="30" t="e">
        <f aca="false">IF(OR(ISBLANK(Fecha_incio),ISBLANK(Fecha_final)),"",Fecha_final-Fecha_incio+1)</f>
        <v>#REF!</v>
      </c>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37"/>
      <c r="BS18" s="37"/>
      <c r="BT18" s="37"/>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AMH18" s="2"/>
      <c r="AMI18" s="2"/>
      <c r="AMJ18" s="2"/>
    </row>
    <row r="19" s="26" customFormat="true" ht="30" hidden="false" customHeight="true" outlineLevel="0" collapsed="false">
      <c r="A19" s="1"/>
      <c r="B19" s="38" t="s">
        <v>30</v>
      </c>
      <c r="C19" s="39" t="s">
        <v>18</v>
      </c>
      <c r="D19" s="40" t="n">
        <v>38260</v>
      </c>
      <c r="E19" s="30"/>
      <c r="F19" s="30" t="e">
        <f aca="false">IF(OR(ISBLANK(Fecha_incio),ISBLANK(Fecha_final)),"",Fecha_final-Fecha_incio+1)</f>
        <v>#REF!</v>
      </c>
      <c r="G19" s="37"/>
      <c r="H19" s="37"/>
      <c r="I19" s="37"/>
      <c r="J19" s="37"/>
      <c r="K19" s="37"/>
      <c r="L19" s="25"/>
      <c r="M19" s="25"/>
      <c r="N19" s="37"/>
      <c r="O19" s="37"/>
      <c r="P19" s="37"/>
      <c r="Q19" s="37"/>
      <c r="R19" s="37"/>
      <c r="S19" s="25"/>
      <c r="T19" s="25"/>
      <c r="U19" s="37"/>
      <c r="V19" s="37"/>
      <c r="W19" s="37"/>
      <c r="X19" s="37"/>
      <c r="Y19" s="37"/>
      <c r="Z19" s="25"/>
      <c r="AA19" s="25"/>
      <c r="AB19" s="37"/>
      <c r="AC19" s="37"/>
      <c r="AD19" s="37"/>
      <c r="AE19" s="37"/>
      <c r="AF19" s="37"/>
      <c r="AG19" s="37"/>
      <c r="AH19" s="25"/>
      <c r="AI19" s="25"/>
      <c r="AJ19" s="37"/>
      <c r="AK19" s="37"/>
      <c r="AL19" s="37"/>
      <c r="AM19" s="37"/>
      <c r="AN19" s="37"/>
      <c r="AO19" s="25"/>
      <c r="AP19" s="25"/>
      <c r="AQ19" s="37"/>
      <c r="AR19" s="37"/>
      <c r="AS19" s="37"/>
      <c r="AT19" s="37"/>
      <c r="AU19" s="37"/>
      <c r="AV19" s="25"/>
      <c r="AW19" s="25"/>
      <c r="AX19" s="37"/>
      <c r="AY19" s="37"/>
      <c r="AZ19" s="37"/>
      <c r="BA19" s="37"/>
      <c r="BB19" s="37"/>
      <c r="BC19" s="25"/>
      <c r="BD19" s="25"/>
      <c r="BE19" s="37"/>
      <c r="BF19" s="37"/>
      <c r="BG19" s="37"/>
      <c r="BH19" s="37"/>
      <c r="BI19" s="37"/>
      <c r="BJ19" s="25"/>
      <c r="BK19" s="25"/>
      <c r="BL19" s="37"/>
      <c r="BM19" s="37"/>
      <c r="BN19" s="37"/>
      <c r="BO19" s="37"/>
      <c r="BP19" s="37"/>
      <c r="BQ19" s="25"/>
      <c r="BR19" s="25"/>
      <c r="BS19" s="37"/>
      <c r="BT19" s="37"/>
      <c r="BU19" s="37"/>
      <c r="BV19" s="37"/>
      <c r="BW19" s="37"/>
      <c r="BX19" s="25"/>
      <c r="BY19" s="37"/>
      <c r="BZ19" s="37"/>
      <c r="CA19" s="37"/>
      <c r="CB19" s="37"/>
      <c r="CC19" s="37"/>
      <c r="CD19" s="41"/>
      <c r="CE19" s="25"/>
      <c r="CF19" s="37"/>
      <c r="CG19" s="37"/>
      <c r="CH19" s="37"/>
      <c r="CI19" s="37"/>
      <c r="CJ19" s="37"/>
      <c r="CK19" s="25"/>
      <c r="CL19" s="25"/>
      <c r="CM19" s="25"/>
      <c r="CN19" s="25"/>
      <c r="CO19" s="25"/>
      <c r="CP19" s="25"/>
      <c r="CQ19" s="25"/>
      <c r="CR19" s="25"/>
      <c r="CS19" s="25"/>
      <c r="AMH19" s="2"/>
      <c r="AMI19" s="2"/>
      <c r="AMJ19" s="2"/>
    </row>
    <row r="20" s="26" customFormat="true" ht="30" hidden="false" customHeight="true" outlineLevel="0" collapsed="false">
      <c r="A20" s="1"/>
      <c r="B20" s="38" t="s">
        <v>31</v>
      </c>
      <c r="C20" s="39" t="s">
        <v>18</v>
      </c>
      <c r="D20" s="40" t="n">
        <v>45649</v>
      </c>
      <c r="E20" s="30"/>
      <c r="F20" s="30" t="e">
        <f aca="false">IF(OR(ISBLANK(Fecha_incio),ISBLANK(Fecha_final)),"",Fecha_final-Fecha_incio+1)</f>
        <v>#REF!</v>
      </c>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37"/>
      <c r="CM20" s="37"/>
      <c r="CN20" s="37"/>
      <c r="CO20" s="37"/>
      <c r="CP20" s="37"/>
      <c r="CQ20" s="37"/>
      <c r="CR20" s="25"/>
      <c r="CS20" s="25"/>
      <c r="AMH20" s="2"/>
      <c r="AMI20" s="2"/>
      <c r="AMJ20" s="2"/>
    </row>
    <row r="21" customFormat="false" ht="30" hidden="false" customHeight="true" outlineLevel="0" collapsed="false">
      <c r="E21" s="42"/>
    </row>
    <row r="22" customFormat="false" ht="30" hidden="false" customHeight="true" outlineLevel="0" collapsed="false">
      <c r="C22" s="43"/>
    </row>
    <row r="23" customFormat="false" ht="30" hidden="false" customHeight="true" outlineLevel="0" collapsed="false">
      <c r="C23" s="44"/>
    </row>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14">
    <mergeCell ref="G4:M4"/>
    <mergeCell ref="N4:T4"/>
    <mergeCell ref="U4:AA4"/>
    <mergeCell ref="AB4:AH4"/>
    <mergeCell ref="AI4:AO4"/>
    <mergeCell ref="AP4:AV4"/>
    <mergeCell ref="AW4:BC4"/>
    <mergeCell ref="BD4:BJ4"/>
    <mergeCell ref="BK4:BQ4"/>
    <mergeCell ref="BR4:BX4"/>
    <mergeCell ref="BY4:CE4"/>
    <mergeCell ref="CF4:CL4"/>
    <mergeCell ref="CM4:CS4"/>
    <mergeCell ref="B5:E5"/>
  </mergeCells>
  <conditionalFormatting sqref="G8:BI8 G15:BI20 G9:K9 M9:BI9 G10:BI11 BJ8:BJ20 G5:BJ7 G12:T12 V12:BI12 G13:X13 G14:AA14 Z13:AA13 AB13:BI14 BK5:CS20">
    <cfRule type="expression" priority="2" aboveAverage="0" equalAverage="0" bottom="0" percent="0" rank="0" text="" dxfId="0">
      <formula>AND(TODAY()&gt;=G$5,TODAY()&lt;H$5)</formula>
    </cfRule>
  </conditionalFormatting>
  <conditionalFormatting sqref="G8:BI8 G15:BI20 G9:K9 M9:BI9 G10:BI11 BJ8:BJ20 G7:BJ7 G12:T12 V12:BI12 G13:X13 G14:AA14 Z13:AA13 AB13:BI14 BK7:CS20">
    <cfRule type="expression" priority="3" aboveAverage="0" equalAverage="0" bottom="0" percent="0" rank="0" text="" dxfId="1">
      <formula>AND(Fecha_incio&lt;=G$5,ROUNDDOWN((Fecha_final-Fecha_incio+1)*Progresos,0)+Fecha_incio-1&gt;=G$5)</formula>
    </cfRule>
    <cfRule type="expression" priority="4" aboveAverage="0" equalAverage="0" bottom="0" percent="0" rank="0" text="" dxfId="2">
      <formula>AND(Fecha_final&gt;=G$5,Fecha_incio&lt;H$5)</formula>
    </cfRule>
  </conditionalFormatting>
  <dataValidations count="1">
    <dataValidation allowBlank="true" errorStyle="stop" operator="greaterThanOrEqual" prompt="Al cambiar este número, se desplazará la vista del diagrama de Gantt." promptTitle="Mostrar semana" showDropDown="false" showErrorMessage="false" showInputMessage="true" sqref="D4" type="whole">
      <formula1>1</formula1>
      <formula2>0</formula2>
    </dataValidation>
  </dataValidations>
  <printOptions headings="false" gridLines="false" gridLinesSet="true" horizontalCentered="true" verticalCentered="false"/>
  <pageMargins left="0.35" right="0.35" top="0.35" bottom="0.5" header="0.511811023622047" footer="0.3"/>
  <pageSetup paperSize="9" scale="100" fitToWidth="1" fitToHeight="0" pageOrder="downThenOver" orientation="landscape" blackAndWhite="false" draft="false" cellComments="none" horizontalDpi="300" verticalDpi="300" copies="1"/>
  <headerFooter differentFirst="false" differentOddEven="false">
    <oddHeader/>
    <oddFooter>&amp;CPage &amp;P of &amp;N</oddFooter>
  </headerFooter>
</worksheet>
</file>

<file path=docProps/app.xml><?xml version="1.0" encoding="utf-8"?>
<Properties xmlns="http://schemas.openxmlformats.org/officeDocument/2006/extended-properties" xmlns:vt="http://schemas.openxmlformats.org/officeDocument/2006/docPropsVTypes">
  <Template/>
  <TotalTime>43</TotalTime>
  <Application>LibreOffice/7.6.1.2$Windows_X86_64 LibreOffice_project/f5defcebd022c5bc36bbb79be232cb6926d8f674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2019-03-19T17:17:03Z</dcterms:created>
  <dc:creator/>
  <dc:description/>
  <dc:language>es-ES</dc:language>
  <cp:lastModifiedBy/>
  <cp:lastPrinted>2024-05-27T19:05:16Z</cp:lastPrinted>
  <dcterms:modified xsi:type="dcterms:W3CDTF">2024-05-27T19:24:02Z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